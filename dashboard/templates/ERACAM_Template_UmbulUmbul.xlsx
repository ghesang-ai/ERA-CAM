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Walk-In" sheetId="2" state="visible" r:id="rId2"/>
    <sheet name="Campaig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EBF3FF"/>
        <bgColor rgb="00EBF3FF"/>
      </patternFill>
    </fill>
    <fill>
      <patternFill patternType="solid">
        <fgColor rgb="00F4A11D"/>
        <bgColor rgb="00F4A11D"/>
      </patternFill>
    </fill>
    <fill>
      <patternFill patternType="solid">
        <fgColor rgb="00F8F9FB"/>
        <bgColor rgb="00F8F9FB"/>
      </patternFill>
    </fill>
    <fill>
      <patternFill patternType="solid">
        <fgColor rgb="00FFFACD"/>
        <bgColor rgb="00FFFACD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" fontId="6" fillId="8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2" customWidth="1" min="4" max="4"/>
    <col width="12" customWidth="1" min="5" max="5"/>
    <col width="22" customWidth="1" min="6" max="6"/>
    <col width="12" customWidth="1" min="7" max="7"/>
    <col width="22" customWidth="1" min="8" max="8"/>
    <col width="14" customWidth="1" min="9" max="9"/>
  </cols>
  <sheetData>
    <row r="1" ht="36" customHeight="1">
      <c r="A1" s="1" t="inlineStr">
        <is>
          <t>ERACAM — TEMPLATE UMBUL-UMBUL | Sheet: Sales (Per Brand)</t>
        </is>
      </c>
    </row>
    <row r="2" ht="18" customHeight="1">
      <c r="A2" s="2" t="inlineStr">
        <is>
          <t>Isi Qty &amp; Revenue per brand untuk periode Baseline dan Campaign. Kolom MoM otomatis.</t>
        </is>
      </c>
    </row>
    <row r="3" ht="36" customHeight="1">
      <c r="A3" s="3" t="inlineStr">
        <is>
          <t>No</t>
        </is>
      </c>
      <c r="B3" s="3" t="inlineStr">
        <is>
          <t>Brand</t>
        </is>
      </c>
      <c r="C3" s="3" t="inlineStr">
        <is>
          <t>Qty
Baseline</t>
        </is>
      </c>
      <c r="D3" s="3" t="inlineStr">
        <is>
          <t>Rev Baseline
(Nett Exc Tax)</t>
        </is>
      </c>
      <c r="E3" s="3" t="inlineStr">
        <is>
          <t>Qty
Campaign</t>
        </is>
      </c>
      <c r="F3" s="3" t="inlineStr">
        <is>
          <t>Rev Campaign
(Nett Exc Tax)</t>
        </is>
      </c>
      <c r="G3" s="3" t="inlineStr">
        <is>
          <t>MoM
Qty</t>
        </is>
      </c>
      <c r="H3" s="3" t="inlineStr">
        <is>
          <t>MoM
Rev</t>
        </is>
      </c>
      <c r="I3" s="3" t="inlineStr">
        <is>
          <t>% MoM
Rev</t>
        </is>
      </c>
    </row>
    <row r="4" ht="20" customHeight="1">
      <c r="A4" s="4" t="n">
        <v>1</v>
      </c>
      <c r="B4" s="4" t="inlineStr">
        <is>
          <t>SAMSUNG</t>
        </is>
      </c>
      <c r="C4" s="5" t="inlineStr"/>
      <c r="D4" s="6" t="inlineStr"/>
      <c r="E4" s="5" t="inlineStr"/>
      <c r="F4" s="6" t="inlineStr"/>
      <c r="G4" s="7">
        <f>E4-C4</f>
        <v/>
      </c>
      <c r="H4" s="8">
        <f>F4-D4</f>
        <v/>
      </c>
      <c r="I4" s="9">
        <f>IF(D4=0,IF(F4&gt;0,1,0),(F4-D4)/D4)</f>
        <v/>
      </c>
    </row>
    <row r="5" ht="20" customHeight="1">
      <c r="A5" s="10" t="n">
        <v>2</v>
      </c>
      <c r="B5" s="10" t="inlineStr">
        <is>
          <t>Samsung Care Plus</t>
        </is>
      </c>
      <c r="C5" s="5" t="inlineStr"/>
      <c r="D5" s="6" t="inlineStr"/>
      <c r="E5" s="5" t="inlineStr"/>
      <c r="F5" s="6" t="inlineStr"/>
      <c r="G5" s="11">
        <f>E5-C5</f>
        <v/>
      </c>
      <c r="H5" s="12">
        <f>F5-D5</f>
        <v/>
      </c>
      <c r="I5" s="13">
        <f>IF(D5=0,IF(F5&gt;0,1,0),(F5-D5)/D5)</f>
        <v/>
      </c>
    </row>
    <row r="6" ht="20" customHeight="1">
      <c r="A6" s="4" t="n">
        <v>3</v>
      </c>
      <c r="B6" s="4" t="inlineStr">
        <is>
          <t>XL AXIATA</t>
        </is>
      </c>
      <c r="C6" s="5" t="inlineStr"/>
      <c r="D6" s="6" t="inlineStr"/>
      <c r="E6" s="5" t="inlineStr"/>
      <c r="F6" s="6" t="inlineStr"/>
      <c r="G6" s="7">
        <f>E6-C6</f>
        <v/>
      </c>
      <c r="H6" s="8">
        <f>F6-D6</f>
        <v/>
      </c>
      <c r="I6" s="9">
        <f>IF(D6=0,IF(F6&gt;0,1,0),(F6-D6)/D6)</f>
        <v/>
      </c>
    </row>
    <row r="7" ht="20" customHeight="1">
      <c r="A7" s="10" t="n">
        <v>4</v>
      </c>
      <c r="B7" s="10" t="inlineStr">
        <is>
          <t>Telkomsel</t>
        </is>
      </c>
      <c r="C7" s="5" t="inlineStr"/>
      <c r="D7" s="6" t="inlineStr"/>
      <c r="E7" s="5" t="inlineStr"/>
      <c r="F7" s="6" t="inlineStr"/>
      <c r="G7" s="11">
        <f>E7-C7</f>
        <v/>
      </c>
      <c r="H7" s="12">
        <f>F7-D7</f>
        <v/>
      </c>
      <c r="I7" s="13">
        <f>IF(D7=0,IF(F7&gt;0,1,0),(F7-D7)/D7)</f>
        <v/>
      </c>
    </row>
    <row r="8" ht="20" customHeight="1">
      <c r="A8" s="4" t="n">
        <v>5</v>
      </c>
      <c r="B8" s="4" t="inlineStr">
        <is>
          <t>Lamina</t>
        </is>
      </c>
      <c r="C8" s="5" t="inlineStr"/>
      <c r="D8" s="6" t="inlineStr"/>
      <c r="E8" s="5" t="inlineStr"/>
      <c r="F8" s="6" t="inlineStr"/>
      <c r="G8" s="7">
        <f>E8-C8</f>
        <v/>
      </c>
      <c r="H8" s="8">
        <f>F8-D8</f>
        <v/>
      </c>
      <c r="I8" s="9">
        <f>IF(D8=0,IF(F8&gt;0,1,0),(F8-D8)/D8)</f>
        <v/>
      </c>
    </row>
    <row r="9" ht="20" customHeight="1">
      <c r="A9" s="10" t="n">
        <v>6</v>
      </c>
      <c r="B9" s="10" t="inlineStr">
        <is>
          <t>IT</t>
        </is>
      </c>
      <c r="C9" s="5" t="inlineStr"/>
      <c r="D9" s="6" t="inlineStr"/>
      <c r="E9" s="5" t="inlineStr"/>
      <c r="F9" s="6" t="inlineStr"/>
      <c r="G9" s="11">
        <f>E9-C9</f>
        <v/>
      </c>
      <c r="H9" s="12">
        <f>F9-D9</f>
        <v/>
      </c>
      <c r="I9" s="13">
        <f>IF(D9=0,IF(F9&gt;0,1,0),(F9-D9)/D9)</f>
        <v/>
      </c>
    </row>
    <row r="10" ht="20" customHeight="1">
      <c r="A10" s="4" t="n">
        <v>7</v>
      </c>
      <c r="B10" s="4" t="inlineStr">
        <is>
          <t>NILLKIN</t>
        </is>
      </c>
      <c r="C10" s="5" t="inlineStr"/>
      <c r="D10" s="6" t="inlineStr"/>
      <c r="E10" s="5" t="inlineStr"/>
      <c r="F10" s="6" t="inlineStr"/>
      <c r="G10" s="7">
        <f>E10-C10</f>
        <v/>
      </c>
      <c r="H10" s="8">
        <f>F10-D10</f>
        <v/>
      </c>
      <c r="I10" s="9">
        <f>IF(D10=0,IF(F10&gt;0,1,0),(F10-D10)/D10)</f>
        <v/>
      </c>
    </row>
    <row r="11" ht="20" customHeight="1">
      <c r="A11" s="10" t="n">
        <v>8</v>
      </c>
      <c r="B11" s="10" t="inlineStr">
        <is>
          <t>ACMIC</t>
        </is>
      </c>
      <c r="C11" s="5" t="inlineStr"/>
      <c r="D11" s="6" t="inlineStr"/>
      <c r="E11" s="5" t="inlineStr"/>
      <c r="F11" s="6" t="inlineStr"/>
      <c r="G11" s="11">
        <f>E11-C11</f>
        <v/>
      </c>
      <c r="H11" s="12">
        <f>F11-D11</f>
        <v/>
      </c>
      <c r="I11" s="13">
        <f>IF(D11=0,IF(F11&gt;0,1,0),(F11-D11)/D11)</f>
        <v/>
      </c>
    </row>
    <row r="12" ht="20" customHeight="1">
      <c r="A12" s="4" t="n">
        <v>9</v>
      </c>
      <c r="B12" s="4" t="inlineStr">
        <is>
          <t>Indosat</t>
        </is>
      </c>
      <c r="C12" s="5" t="inlineStr"/>
      <c r="D12" s="6" t="inlineStr"/>
      <c r="E12" s="5" t="inlineStr"/>
      <c r="F12" s="6" t="inlineStr"/>
      <c r="G12" s="7">
        <f>E12-C12</f>
        <v/>
      </c>
      <c r="H12" s="8">
        <f>F12-D12</f>
        <v/>
      </c>
      <c r="I12" s="9">
        <f>IF(D12=0,IF(F12&gt;0,1,0),(F12-D12)/D12)</f>
        <v/>
      </c>
    </row>
    <row r="13" ht="20" customHeight="1">
      <c r="A13" s="10" t="n">
        <v>10</v>
      </c>
      <c r="B13" s="10" t="inlineStr">
        <is>
          <t>MEDPOIN</t>
        </is>
      </c>
      <c r="C13" s="5" t="inlineStr"/>
      <c r="D13" s="6" t="inlineStr"/>
      <c r="E13" s="5" t="inlineStr"/>
      <c r="F13" s="6" t="inlineStr"/>
      <c r="G13" s="11">
        <f>E13-C13</f>
        <v/>
      </c>
      <c r="H13" s="12">
        <f>F13-D13</f>
        <v/>
      </c>
      <c r="I13" s="13">
        <f>IF(D13=0,IF(F13&gt;0,1,0),(F13-D13)/D13)</f>
        <v/>
      </c>
    </row>
    <row r="14" ht="20" customHeight="1">
      <c r="A14" s="4" t="n">
        <v>11</v>
      </c>
      <c r="B14" s="4" t="inlineStr">
        <is>
          <t>Loops</t>
        </is>
      </c>
      <c r="C14" s="5" t="inlineStr"/>
      <c r="D14" s="6" t="inlineStr"/>
      <c r="E14" s="5" t="inlineStr"/>
      <c r="F14" s="6" t="inlineStr"/>
      <c r="G14" s="7">
        <f>E14-C14</f>
        <v/>
      </c>
      <c r="H14" s="8">
        <f>F14-D14</f>
        <v/>
      </c>
      <c r="I14" s="9">
        <f>IF(D14=0,IF(F14&gt;0,1,0),(F14-D14)/D14)</f>
        <v/>
      </c>
    </row>
    <row r="15" ht="20" customHeight="1">
      <c r="A15" s="10" t="n">
        <v>12</v>
      </c>
      <c r="B15" s="10" t="inlineStr">
        <is>
          <t>Sandisk</t>
        </is>
      </c>
      <c r="C15" s="5" t="inlineStr"/>
      <c r="D15" s="6" t="inlineStr"/>
      <c r="E15" s="5" t="inlineStr"/>
      <c r="F15" s="6" t="inlineStr"/>
      <c r="G15" s="11">
        <f>E15-C15</f>
        <v/>
      </c>
      <c r="H15" s="12">
        <f>F15-D15</f>
        <v/>
      </c>
      <c r="I15" s="13">
        <f>IF(D15=0,IF(F15&gt;0,1,0),(F15-D15)/D15)</f>
        <v/>
      </c>
    </row>
    <row r="16" ht="22" customHeight="1">
      <c r="B16" s="14" t="inlineStr">
        <is>
          <t>GRAND TOTAL</t>
        </is>
      </c>
      <c r="C16" s="15">
        <f>SUM(C4:C15)</f>
        <v/>
      </c>
      <c r="D16" s="16">
        <f>SUM(D4:D15)</f>
        <v/>
      </c>
      <c r="E16" s="15">
        <f>SUM(E4:E15)</f>
        <v/>
      </c>
      <c r="F16" s="16">
        <f>SUM(F4:F15)</f>
        <v/>
      </c>
      <c r="G16" s="15">
        <f>SUM(G4:G15)</f>
        <v/>
      </c>
      <c r="H16" s="16">
        <f>SUM(H4:H15)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ERACAM — TEMPLATE UMBUL-UMBUL | Sheet: Walk-In (WIC Data)</t>
        </is>
      </c>
    </row>
    <row r="2" ht="18" customHeight="1">
      <c r="A2" s="2" t="inlineStr">
        <is>
          <t>Isi data Walk-In Customer per periode (Baseline vs Campaign). Satu baris per outlet.</t>
        </is>
      </c>
    </row>
    <row r="3" ht="36" customHeight="1">
      <c r="A3" s="3" t="inlineStr">
        <is>
          <t>Outlet</t>
        </is>
      </c>
      <c r="B3" s="3" t="inlineStr">
        <is>
          <t>Transaksi
Baseline</t>
        </is>
      </c>
      <c r="C3" s="3" t="inlineStr">
        <is>
          <t>Lihat &amp; Tanya /
Stock Kosong Baseline</t>
        </is>
      </c>
      <c r="D3" s="3" t="inlineStr">
        <is>
          <t>Total WIC
Baseline</t>
        </is>
      </c>
      <c r="E3" s="3" t="inlineStr">
        <is>
          <t>Transaksi
Campaign</t>
        </is>
      </c>
      <c r="F3" s="3" t="inlineStr">
        <is>
          <t>Lihat &amp; Tanya /
Stock Kosong Campaign</t>
        </is>
      </c>
      <c r="G3" s="3" t="inlineStr">
        <is>
          <t>Total WIC
Campaign</t>
        </is>
      </c>
    </row>
    <row r="4" ht="20" customHeight="1">
      <c r="A4" s="17" t="inlineStr"/>
      <c r="B4" s="18" t="inlineStr"/>
      <c r="C4" s="5" t="inlineStr"/>
      <c r="D4" s="5" t="inlineStr"/>
      <c r="E4" s="5" t="inlineStr"/>
      <c r="F4" s="5" t="inlineStr"/>
      <c r="G4" s="5" t="inlineStr"/>
    </row>
    <row r="5" ht="20" customHeight="1">
      <c r="A5" s="17" t="inlineStr"/>
      <c r="B5" s="18" t="inlineStr"/>
      <c r="C5" s="5" t="inlineStr"/>
      <c r="D5" s="5" t="inlineStr"/>
      <c r="E5" s="5" t="inlineStr"/>
      <c r="F5" s="5" t="inlineStr"/>
      <c r="G5" s="5" t="inlineStr"/>
    </row>
    <row r="6" ht="20" customHeight="1">
      <c r="A6" s="17" t="inlineStr"/>
      <c r="B6" s="18" t="inlineStr"/>
      <c r="C6" s="5" t="inlineStr"/>
      <c r="D6" s="5" t="inlineStr"/>
      <c r="E6" s="5" t="inlineStr"/>
      <c r="F6" s="5" t="inlineStr"/>
      <c r="G6" s="5" t="inlineStr"/>
    </row>
    <row r="7" ht="20" customHeight="1">
      <c r="A7" s="17" t="inlineStr"/>
      <c r="B7" s="18" t="inlineStr"/>
      <c r="C7" s="5" t="inlineStr"/>
      <c r="D7" s="5" t="inlineStr"/>
      <c r="E7" s="5" t="inlineStr"/>
      <c r="F7" s="5" t="inlineStr"/>
      <c r="G7" s="5" t="inlineStr"/>
    </row>
    <row r="8" ht="20" customHeight="1">
      <c r="A8" s="17" t="inlineStr"/>
      <c r="B8" s="18" t="inlineStr"/>
      <c r="C8" s="5" t="inlineStr"/>
      <c r="D8" s="5" t="inlineStr"/>
      <c r="E8" s="5" t="inlineStr"/>
      <c r="F8" s="5" t="inlineStr"/>
      <c r="G8" s="5" t="inlineStr"/>
    </row>
    <row r="10" ht="18" customHeight="1">
      <c r="A10" s="19" t="inlineStr">
        <is>
          <t>AUTO-CALCULATED SUMMARY</t>
        </is>
      </c>
    </row>
    <row r="11" ht="36" customHeight="1">
      <c r="A11" s="20" t="inlineStr">
        <is>
          <t>Metrik</t>
        </is>
      </c>
      <c r="B11" s="20" t="inlineStr">
        <is>
          <t>Baseline</t>
        </is>
      </c>
      <c r="C11" s="20" t="inlineStr">
        <is>
          <t>Campaign</t>
        </is>
      </c>
      <c r="D11" s="20" t="inlineStr">
        <is>
          <t>MoM Change</t>
        </is>
      </c>
      <c r="E11" s="20" t="inlineStr"/>
      <c r="F11" s="20" t="inlineStr"/>
      <c r="G11" s="20" t="inlineStr"/>
    </row>
    <row r="12" ht="20" customHeight="1">
      <c r="A12" s="21" t="inlineStr">
        <is>
          <t>Total WIC</t>
        </is>
      </c>
      <c r="B12" s="22">
        <f>SUM(D4:D8)</f>
        <v/>
      </c>
      <c r="C12" s="22">
        <f>SUM(G4:G8)</f>
        <v/>
      </c>
      <c r="D12" s="23">
        <f>(C12-B12)/B12</f>
        <v/>
      </c>
    </row>
    <row r="13" ht="20" customHeight="1">
      <c r="A13" s="24" t="inlineStr">
        <is>
          <t>Total Transaksi</t>
        </is>
      </c>
      <c r="B13" s="25">
        <f>SUM(B4:B8)</f>
        <v/>
      </c>
      <c r="C13" s="25">
        <f>SUM(E4:E8)</f>
        <v/>
      </c>
      <c r="D13" s="26">
        <f>(C13-B13)/B13</f>
        <v/>
      </c>
    </row>
    <row r="14" ht="20" customHeight="1">
      <c r="A14" s="21" t="inlineStr">
        <is>
          <t>Looker (L&amp;T/S.Kos)</t>
        </is>
      </c>
      <c r="B14" s="22">
        <f>SUM(C4:C8)</f>
        <v/>
      </c>
      <c r="C14" s="22">
        <f>SUM(F4:F8)</f>
        <v/>
      </c>
      <c r="D14" s="23">
        <f>(C14-B14)/B14</f>
        <v/>
      </c>
    </row>
    <row r="15" ht="20" customHeight="1">
      <c r="A15" s="24" t="inlineStr">
        <is>
          <t>Conversion Rate</t>
        </is>
      </c>
      <c r="B15" s="13">
        <f>IF(B12=0,0,B13/B12)</f>
        <v/>
      </c>
      <c r="C15" s="13">
        <f>IF(C12=0,0,C13/C12)</f>
        <v/>
      </c>
      <c r="D15" s="26">
        <f>C15-B15</f>
        <v/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</cols>
  <sheetData>
    <row r="1" ht="36" customHeight="1">
      <c r="A1" s="1" t="inlineStr">
        <is>
          <t>ERACAM — INFO CAMPAIGN UMBUL-UMBUL</t>
        </is>
      </c>
    </row>
    <row r="2" ht="18" customHeight="1">
      <c r="A2" s="2" t="inlineStr">
        <is>
          <t>Isi informasi dasar campaign sebelum mengisi sheet Sales dan Walk-In.</t>
        </is>
      </c>
    </row>
    <row r="3" ht="22" customHeight="1">
      <c r="A3" s="27" t="inlineStr">
        <is>
          <t>PARAMETER</t>
        </is>
      </c>
      <c r="B3" s="27" t="inlineStr">
        <is>
          <t>NILAI</t>
        </is>
      </c>
      <c r="C3" s="27" t="inlineStr">
        <is>
          <t>KETERANGAN</t>
        </is>
      </c>
    </row>
    <row r="4" ht="20" customHeight="1">
      <c r="A4" s="21" t="inlineStr">
        <is>
          <t>Nama Outlet</t>
        </is>
      </c>
      <c r="B4" s="17" t="inlineStr"/>
      <c r="C4" s="4" t="inlineStr">
        <is>
          <t>Nama toko Samsung SEP</t>
        </is>
      </c>
    </row>
    <row r="5" ht="20" customHeight="1">
      <c r="A5" s="24" t="inlineStr">
        <is>
          <t>Lokasi</t>
        </is>
      </c>
      <c r="B5" s="17" t="inlineStr"/>
      <c r="C5" s="10" t="inlineStr">
        <is>
          <t>Kota / area outlet</t>
        </is>
      </c>
    </row>
    <row r="6" ht="20" customHeight="1">
      <c r="A6" s="21" t="inlineStr">
        <is>
          <t>Campaign</t>
        </is>
      </c>
      <c r="B6" s="28" t="inlineStr">
        <is>
          <t>Umbul-Umbul</t>
        </is>
      </c>
      <c r="C6" s="4" t="inlineStr">
        <is>
          <t>Nama campaign</t>
        </is>
      </c>
    </row>
    <row r="7" ht="20" customHeight="1">
      <c r="A7" s="24" t="inlineStr">
        <is>
          <t>Periode Baseline</t>
        </is>
      </c>
      <c r="B7" s="17" t="inlineStr"/>
      <c r="C7" s="10" t="inlineStr">
        <is>
          <t>Bulan sebelum umbul-umbul dipasang</t>
        </is>
      </c>
    </row>
    <row r="8" ht="20" customHeight="1">
      <c r="A8" s="21" t="inlineStr">
        <is>
          <t>Periode Campaign</t>
        </is>
      </c>
      <c r="B8" s="17" t="inlineStr"/>
      <c r="C8" s="4" t="inlineStr">
        <is>
          <t>Bulan selama umbul-umbul aktif</t>
        </is>
      </c>
    </row>
    <row r="9" ht="20" customHeight="1">
      <c r="A9" s="24" t="inlineStr">
        <is>
          <t>Biaya Media (IDR)</t>
        </is>
      </c>
      <c r="B9" s="29" t="n">
        <v>0</v>
      </c>
      <c r="C9" s="10" t="inlineStr">
        <is>
          <t>Biaya pemasangan umbul-umbul</t>
        </is>
      </c>
    </row>
    <row r="10" ht="20" customHeight="1">
      <c r="A10" s="21" t="inlineStr">
        <is>
          <t>Tanggal Pasang</t>
        </is>
      </c>
      <c r="B10" s="17" t="inlineStr"/>
      <c r="C10" s="4" t="inlineStr">
        <is>
          <t>dd/mm/yyyy</t>
        </is>
      </c>
    </row>
    <row r="11" ht="20" customHeight="1">
      <c r="A11" s="24" t="inlineStr">
        <is>
          <t>Tanggal Copot</t>
        </is>
      </c>
      <c r="B11" s="17" t="inlineStr"/>
      <c r="C11" s="10" t="inlineStr">
        <is>
          <t>dd/mm/yyyy</t>
        </is>
      </c>
    </row>
    <row r="12" ht="20" customHeight="1">
      <c r="A12" s="21" t="inlineStr">
        <is>
          <t>Jumlah Unit</t>
        </is>
      </c>
      <c r="B12" s="17" t="inlineStr"/>
      <c r="C12" s="4" t="inlineStr">
        <is>
          <t>Jumlah umbul-umbul terpasang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2026-05-05T14:42:19Z</dcterms:created>
  <dcterms:modified xsi:type="dcterms:W3CDTF">2026-05-05T14:42:19Z</dcterms:modified>
</cp:coreProperties>
</file>