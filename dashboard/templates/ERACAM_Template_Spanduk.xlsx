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" sheetId="1" state="visible" r:id="rId1"/>
    <sheet name="Wic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x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EBF3FF"/>
        <bgColor rgb="00EBF3FF"/>
      </patternFill>
    </fill>
    <fill>
      <patternFill patternType="solid">
        <fgColor rgb="00F4A11D"/>
        <bgColor rgb="00F4A11D"/>
      </patternFill>
    </fill>
    <fill>
      <patternFill patternType="solid">
        <fgColor rgb="00F8F9FB"/>
        <bgColor rgb="00F8F9FB"/>
      </patternFill>
    </fill>
    <fill>
      <patternFill patternType="solid">
        <fgColor rgb="00FFFACD"/>
        <bgColor rgb="00FFFAC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left" vertical="center" wrapText="1"/>
    </xf>
    <xf numFmtId="1" fontId="5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  <col width="14" customWidth="1" min="11" max="11"/>
  </cols>
  <sheetData>
    <row r="1" ht="36" customHeight="1">
      <c r="A1" s="1" t="inlineStr">
        <is>
          <t>ERACAM — TEMPLATE SPANDUK FASAD | Sheet: REKAP</t>
        </is>
      </c>
    </row>
    <row r="2" ht="18" customHeight="1">
      <c r="A2" s="2" t="inlineStr">
        <is>
          <t>Isi data Walk-In, Sales, dan Biaya Media per outlet. Kolom biru = input manual.</t>
        </is>
      </c>
    </row>
    <row r="3" ht="36" customHeight="1">
      <c r="A3" s="3" t="inlineStr">
        <is>
          <t>No</t>
        </is>
      </c>
      <c r="B3" s="3" t="inlineStr">
        <is>
          <t>Outlet</t>
        </is>
      </c>
      <c r="C3" s="3" t="inlineStr">
        <is>
          <t>Kota</t>
        </is>
      </c>
      <c r="D3" s="3" t="inlineStr">
        <is>
          <t>Biaya Media
(Rp)</t>
        </is>
      </c>
      <c r="E3" s="3" t="inlineStr">
        <is>
          <t>Avg Walk-In
Before/hari</t>
        </is>
      </c>
      <c r="F3" s="3" t="inlineStr">
        <is>
          <t>Avg Walk-In
During/hari</t>
        </is>
      </c>
      <c r="G3" s="3" t="inlineStr">
        <is>
          <t>Avg Sales
Before (Rp)</t>
        </is>
      </c>
      <c r="H3" s="3" t="inlineStr">
        <is>
          <t>Avg Sales
During (Rp)</t>
        </is>
      </c>
      <c r="I3" s="3" t="inlineStr">
        <is>
          <t>Profit
Increment</t>
        </is>
      </c>
      <c r="J3" s="3" t="inlineStr">
        <is>
          <t>ROI
(x)</t>
        </is>
      </c>
      <c r="K3" s="3" t="inlineStr">
        <is>
          <t>Status</t>
        </is>
      </c>
    </row>
    <row r="4" ht="20" customHeight="1">
      <c r="A4" s="4" t="n">
        <v>1</v>
      </c>
      <c r="B4" s="5" t="inlineStr"/>
      <c r="C4" s="6" t="inlineStr"/>
      <c r="D4" s="7" t="inlineStr"/>
      <c r="E4" s="6" t="inlineStr"/>
      <c r="F4" s="6" t="inlineStr"/>
      <c r="G4" s="7" t="inlineStr"/>
      <c r="H4" s="7" t="inlineStr"/>
      <c r="I4" s="8">
        <f>IF(H4=0,"",H4-G4)</f>
        <v/>
      </c>
      <c r="J4" s="9">
        <f>IF(D4=0,"",IFERROR((H4-G4)/D4,""))</f>
        <v/>
      </c>
      <c r="K4" s="10">
        <f>IF(J4="","",IF(J4&gt;=1,"BERHASIL","BELUM BERHASIL"))</f>
        <v/>
      </c>
    </row>
    <row r="5" ht="20" customHeight="1">
      <c r="A5" s="11" t="n">
        <v>2</v>
      </c>
      <c r="B5" s="5" t="inlineStr"/>
      <c r="C5" s="6" t="inlineStr"/>
      <c r="D5" s="7" t="inlineStr"/>
      <c r="E5" s="6" t="inlineStr"/>
      <c r="F5" s="6" t="inlineStr"/>
      <c r="G5" s="7" t="inlineStr"/>
      <c r="H5" s="7" t="inlineStr"/>
      <c r="I5" s="12">
        <f>IF(H5=0,"",H5-G5)</f>
        <v/>
      </c>
      <c r="J5" s="13">
        <f>IF(D5=0,"",IFERROR((H5-G5)/D5,""))</f>
        <v/>
      </c>
      <c r="K5" s="14">
        <f>IF(J5="","",IF(J5&gt;=1,"BERHASIL","BELUM BERHASIL"))</f>
        <v/>
      </c>
    </row>
    <row r="6" ht="20" customHeight="1">
      <c r="A6" s="4" t="n">
        <v>3</v>
      </c>
      <c r="B6" s="5" t="inlineStr"/>
      <c r="C6" s="6" t="inlineStr"/>
      <c r="D6" s="7" t="inlineStr"/>
      <c r="E6" s="6" t="inlineStr"/>
      <c r="F6" s="6" t="inlineStr"/>
      <c r="G6" s="7" t="inlineStr"/>
      <c r="H6" s="7" t="inlineStr"/>
      <c r="I6" s="8">
        <f>IF(H6=0,"",H6-G6)</f>
        <v/>
      </c>
      <c r="J6" s="9">
        <f>IF(D6=0,"",IFERROR((H6-G6)/D6,""))</f>
        <v/>
      </c>
      <c r="K6" s="10">
        <f>IF(J6="","",IF(J6&gt;=1,"BERHASIL","BELUM BERHASIL"))</f>
        <v/>
      </c>
    </row>
    <row r="7" ht="20" customHeight="1">
      <c r="A7" s="11" t="n">
        <v>4</v>
      </c>
      <c r="B7" s="5" t="inlineStr"/>
      <c r="C7" s="6" t="inlineStr"/>
      <c r="D7" s="7" t="inlineStr"/>
      <c r="E7" s="6" t="inlineStr"/>
      <c r="F7" s="6" t="inlineStr"/>
      <c r="G7" s="7" t="inlineStr"/>
      <c r="H7" s="7" t="inlineStr"/>
      <c r="I7" s="12">
        <f>IF(H7=0,"",H7-G7)</f>
        <v/>
      </c>
      <c r="J7" s="13">
        <f>IF(D7=0,"",IFERROR((H7-G7)/D7,""))</f>
        <v/>
      </c>
      <c r="K7" s="14">
        <f>IF(J7="","",IF(J7&gt;=1,"BERHASIL","BELUM BERHASIL"))</f>
        <v/>
      </c>
    </row>
    <row r="8" ht="20" customHeight="1">
      <c r="A8" s="4" t="n">
        <v>5</v>
      </c>
      <c r="B8" s="5" t="inlineStr"/>
      <c r="C8" s="6" t="inlineStr"/>
      <c r="D8" s="7" t="inlineStr"/>
      <c r="E8" s="6" t="inlineStr"/>
      <c r="F8" s="6" t="inlineStr"/>
      <c r="G8" s="7" t="inlineStr"/>
      <c r="H8" s="7" t="inlineStr"/>
      <c r="I8" s="8">
        <f>IF(H8=0,"",H8-G8)</f>
        <v/>
      </c>
      <c r="J8" s="9">
        <f>IF(D8=0,"",IFERROR((H8-G8)/D8,""))</f>
        <v/>
      </c>
      <c r="K8" s="10">
        <f>IF(J8="","",IF(J8&gt;=1,"BERHASIL","BELUM BERHASIL"))</f>
        <v/>
      </c>
    </row>
    <row r="9" ht="20" customHeight="1">
      <c r="A9" s="11" t="n">
        <v>6</v>
      </c>
      <c r="B9" s="5" t="inlineStr"/>
      <c r="C9" s="6" t="inlineStr"/>
      <c r="D9" s="7" t="inlineStr"/>
      <c r="E9" s="6" t="inlineStr"/>
      <c r="F9" s="6" t="inlineStr"/>
      <c r="G9" s="7" t="inlineStr"/>
      <c r="H9" s="7" t="inlineStr"/>
      <c r="I9" s="12">
        <f>IF(H9=0,"",H9-G9)</f>
        <v/>
      </c>
      <c r="J9" s="13">
        <f>IF(D9=0,"",IFERROR((H9-G9)/D9,""))</f>
        <v/>
      </c>
      <c r="K9" s="14">
        <f>IF(J9="","",IF(J9&gt;=1,"BERHASIL","BELUM BERHASIL"))</f>
        <v/>
      </c>
    </row>
    <row r="10" ht="20" customHeight="1">
      <c r="A10" s="4" t="n">
        <v>7</v>
      </c>
      <c r="B10" s="5" t="inlineStr"/>
      <c r="C10" s="6" t="inlineStr"/>
      <c r="D10" s="7" t="inlineStr"/>
      <c r="E10" s="6" t="inlineStr"/>
      <c r="F10" s="6" t="inlineStr"/>
      <c r="G10" s="7" t="inlineStr"/>
      <c r="H10" s="7" t="inlineStr"/>
      <c r="I10" s="8">
        <f>IF(H10=0,"",H10-G10)</f>
        <v/>
      </c>
      <c r="J10" s="9">
        <f>IF(D10=0,"",IFERROR((H10-G10)/D10,""))</f>
        <v/>
      </c>
      <c r="K10" s="10">
        <f>IF(J10="","",IF(J10&gt;=1,"BERHASIL","BELUM BERHASIL"))</f>
        <v/>
      </c>
    </row>
    <row r="11" ht="20" customHeight="1">
      <c r="A11" s="11" t="n">
        <v>8</v>
      </c>
      <c r="B11" s="5" t="inlineStr"/>
      <c r="C11" s="6" t="inlineStr"/>
      <c r="D11" s="7" t="inlineStr"/>
      <c r="E11" s="6" t="inlineStr"/>
      <c r="F11" s="6" t="inlineStr"/>
      <c r="G11" s="7" t="inlineStr"/>
      <c r="H11" s="7" t="inlineStr"/>
      <c r="I11" s="12">
        <f>IF(H11=0,"",H11-G11)</f>
        <v/>
      </c>
      <c r="J11" s="13">
        <f>IF(D11=0,"",IFERROR((H11-G11)/D11,""))</f>
        <v/>
      </c>
      <c r="K11" s="14">
        <f>IF(J11="","",IF(J11&gt;=1,"BERHASIL","BELUM BERHASIL"))</f>
        <v/>
      </c>
    </row>
    <row r="12" ht="20" customHeight="1">
      <c r="A12" s="4" t="n">
        <v>9</v>
      </c>
      <c r="B12" s="5" t="inlineStr"/>
      <c r="C12" s="6" t="inlineStr"/>
      <c r="D12" s="7" t="inlineStr"/>
      <c r="E12" s="6" t="inlineStr"/>
      <c r="F12" s="6" t="inlineStr"/>
      <c r="G12" s="7" t="inlineStr"/>
      <c r="H12" s="7" t="inlineStr"/>
      <c r="I12" s="8">
        <f>IF(H12=0,"",H12-G12)</f>
        <v/>
      </c>
      <c r="J12" s="9">
        <f>IF(D12=0,"",IFERROR((H12-G12)/D12,""))</f>
        <v/>
      </c>
      <c r="K12" s="10">
        <f>IF(J12="","",IF(J12&gt;=1,"BERHASIL","BELUM BERHASIL"))</f>
        <v/>
      </c>
    </row>
    <row r="13" ht="20" customHeight="1">
      <c r="A13" s="11" t="n">
        <v>10</v>
      </c>
      <c r="B13" s="5" t="inlineStr"/>
      <c r="C13" s="6" t="inlineStr"/>
      <c r="D13" s="7" t="inlineStr"/>
      <c r="E13" s="6" t="inlineStr"/>
      <c r="F13" s="6" t="inlineStr"/>
      <c r="G13" s="7" t="inlineStr"/>
      <c r="H13" s="7" t="inlineStr"/>
      <c r="I13" s="12">
        <f>IF(H13=0,"",H13-G13)</f>
        <v/>
      </c>
      <c r="J13" s="13">
        <f>IF(D13=0,"",IFERROR((H13-G13)/D13,""))</f>
        <v/>
      </c>
      <c r="K13" s="14">
        <f>IF(J13="","",IF(J13&gt;=1,"BERHASIL","BELUM BERHASIL"))</f>
        <v/>
      </c>
    </row>
    <row r="14" ht="20" customHeight="1">
      <c r="A14" s="4" t="n">
        <v>11</v>
      </c>
      <c r="B14" s="5" t="inlineStr"/>
      <c r="C14" s="6" t="inlineStr"/>
      <c r="D14" s="7" t="inlineStr"/>
      <c r="E14" s="6" t="inlineStr"/>
      <c r="F14" s="6" t="inlineStr"/>
      <c r="G14" s="7" t="inlineStr"/>
      <c r="H14" s="7" t="inlineStr"/>
      <c r="I14" s="8">
        <f>IF(H14=0,"",H14-G14)</f>
        <v/>
      </c>
      <c r="J14" s="9">
        <f>IF(D14=0,"",IFERROR((H14-G14)/D14,""))</f>
        <v/>
      </c>
      <c r="K14" s="10">
        <f>IF(J14="","",IF(J14&gt;=1,"BERHASIL","BELUM BERHASIL"))</f>
        <v/>
      </c>
    </row>
    <row r="15" ht="20" customHeight="1">
      <c r="A15" s="11" t="n">
        <v>12</v>
      </c>
      <c r="B15" s="5" t="inlineStr"/>
      <c r="C15" s="6" t="inlineStr"/>
      <c r="D15" s="7" t="inlineStr"/>
      <c r="E15" s="6" t="inlineStr"/>
      <c r="F15" s="6" t="inlineStr"/>
      <c r="G15" s="7" t="inlineStr"/>
      <c r="H15" s="7" t="inlineStr"/>
      <c r="I15" s="12">
        <f>IF(H15=0,"",H15-G15)</f>
        <v/>
      </c>
      <c r="J15" s="13">
        <f>IF(D15=0,"",IFERROR((H15-G15)/D15,""))</f>
        <v/>
      </c>
      <c r="K15" s="14">
        <f>IF(J15="","",IF(J15&gt;=1,"BERHASIL","BELUM BERHASIL"))</f>
        <v/>
      </c>
    </row>
    <row r="16" ht="20" customHeight="1">
      <c r="A16" s="4" t="n">
        <v>13</v>
      </c>
      <c r="B16" s="5" t="inlineStr"/>
      <c r="C16" s="6" t="inlineStr"/>
      <c r="D16" s="7" t="inlineStr"/>
      <c r="E16" s="6" t="inlineStr"/>
      <c r="F16" s="6" t="inlineStr"/>
      <c r="G16" s="7" t="inlineStr"/>
      <c r="H16" s="7" t="inlineStr"/>
      <c r="I16" s="8">
        <f>IF(H16=0,"",H16-G16)</f>
        <v/>
      </c>
      <c r="J16" s="9">
        <f>IF(D16=0,"",IFERROR((H16-G16)/D16,""))</f>
        <v/>
      </c>
      <c r="K16" s="10">
        <f>IF(J16="","",IF(J16&gt;=1,"BERHASIL","BELUM BERHASIL"))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ERACAM — TEMPLATE SPANDUK FASAD | Sheet: Wic</t>
        </is>
      </c>
    </row>
    <row r="2" ht="18" customHeight="1">
      <c r="A2" s="2" t="inlineStr">
        <is>
          <t>Walk-In Customer data per outlet per periode.</t>
        </is>
      </c>
    </row>
    <row r="3" ht="36" customHeight="1">
      <c r="A3" s="3" t="inlineStr">
        <is>
          <t>Outlet</t>
        </is>
      </c>
      <c r="B3" s="3" t="inlineStr">
        <is>
          <t>Transaksi
Before</t>
        </is>
      </c>
      <c r="C3" s="3" t="inlineStr">
        <is>
          <t>WIC Total
Before</t>
        </is>
      </c>
      <c r="D3" s="3" t="inlineStr">
        <is>
          <t>Transaksi
During</t>
        </is>
      </c>
      <c r="E3" s="3" t="inlineStr">
        <is>
          <t>WIC Total
During</t>
        </is>
      </c>
      <c r="F3" s="3" t="inlineStr">
        <is>
          <t>Conversion
Rate During</t>
        </is>
      </c>
    </row>
    <row r="4" ht="20" customHeight="1">
      <c r="A4" s="5" t="inlineStr"/>
      <c r="B4" s="15" t="inlineStr"/>
      <c r="C4" s="16" t="inlineStr"/>
      <c r="D4" s="16" t="inlineStr"/>
      <c r="E4" s="16" t="inlineStr"/>
      <c r="F4" s="17">
        <f>IF(E4=0,"",IFERROR(D4/E4,""))</f>
        <v/>
      </c>
    </row>
    <row r="5" ht="20" customHeight="1">
      <c r="A5" s="5" t="inlineStr"/>
      <c r="B5" s="15" t="inlineStr"/>
      <c r="C5" s="16" t="inlineStr"/>
      <c r="D5" s="16" t="inlineStr"/>
      <c r="E5" s="16" t="inlineStr"/>
      <c r="F5" s="18">
        <f>IF(E5=0,"",IFERROR(D5/E5,""))</f>
        <v/>
      </c>
    </row>
    <row r="6" ht="20" customHeight="1">
      <c r="A6" s="5" t="inlineStr"/>
      <c r="B6" s="15" t="inlineStr"/>
      <c r="C6" s="16" t="inlineStr"/>
      <c r="D6" s="16" t="inlineStr"/>
      <c r="E6" s="16" t="inlineStr"/>
      <c r="F6" s="17">
        <f>IF(E6=0,"",IFERROR(D6/E6,""))</f>
        <v/>
      </c>
    </row>
    <row r="7" ht="20" customHeight="1">
      <c r="A7" s="5" t="inlineStr"/>
      <c r="B7" s="15" t="inlineStr"/>
      <c r="C7" s="16" t="inlineStr"/>
      <c r="D7" s="16" t="inlineStr"/>
      <c r="E7" s="16" t="inlineStr"/>
      <c r="F7" s="18">
        <f>IF(E7=0,"",IFERROR(D7/E7,""))</f>
        <v/>
      </c>
    </row>
    <row r="8" ht="20" customHeight="1">
      <c r="A8" s="5" t="inlineStr"/>
      <c r="B8" s="15" t="inlineStr"/>
      <c r="C8" s="16" t="inlineStr"/>
      <c r="D8" s="16" t="inlineStr"/>
      <c r="E8" s="16" t="inlineStr"/>
      <c r="F8" s="17">
        <f>IF(E8=0,"",IFERROR(D8/E8,""))</f>
        <v/>
      </c>
    </row>
    <row r="9" ht="20" customHeight="1">
      <c r="A9" s="5" t="inlineStr"/>
      <c r="B9" s="15" t="inlineStr"/>
      <c r="C9" s="16" t="inlineStr"/>
      <c r="D9" s="16" t="inlineStr"/>
      <c r="E9" s="16" t="inlineStr"/>
      <c r="F9" s="18">
        <f>IF(E9=0,"",IFERROR(D9/E9,""))</f>
        <v/>
      </c>
    </row>
    <row r="10" ht="20" customHeight="1">
      <c r="A10" s="5" t="inlineStr"/>
      <c r="B10" s="15" t="inlineStr"/>
      <c r="C10" s="16" t="inlineStr"/>
      <c r="D10" s="16" t="inlineStr"/>
      <c r="E10" s="16" t="inlineStr"/>
      <c r="F10" s="17">
        <f>IF(E10=0,"",IFERROR(D10/E10,""))</f>
        <v/>
      </c>
    </row>
    <row r="11" ht="20" customHeight="1">
      <c r="A11" s="5" t="inlineStr"/>
      <c r="B11" s="15" t="inlineStr"/>
      <c r="C11" s="16" t="inlineStr"/>
      <c r="D11" s="16" t="inlineStr"/>
      <c r="E11" s="16" t="inlineStr"/>
      <c r="F11" s="18">
        <f>IF(E11=0,"",IFERROR(D11/E11,""))</f>
        <v/>
      </c>
    </row>
    <row r="12" ht="20" customHeight="1">
      <c r="A12" s="5" t="inlineStr"/>
      <c r="B12" s="15" t="inlineStr"/>
      <c r="C12" s="16" t="inlineStr"/>
      <c r="D12" s="16" t="inlineStr"/>
      <c r="E12" s="16" t="inlineStr"/>
      <c r="F12" s="17">
        <f>IF(E12=0,"",IFERROR(D12/E12,""))</f>
        <v/>
      </c>
    </row>
    <row r="13" ht="20" customHeight="1">
      <c r="A13" s="5" t="inlineStr"/>
      <c r="B13" s="15" t="inlineStr"/>
      <c r="C13" s="16" t="inlineStr"/>
      <c r="D13" s="16" t="inlineStr"/>
      <c r="E13" s="16" t="inlineStr"/>
      <c r="F13" s="18">
        <f>IF(E13=0,"",IFERROR(D13/E13,""))</f>
        <v/>
      </c>
    </row>
    <row r="14" ht="20" customHeight="1">
      <c r="A14" s="5" t="inlineStr"/>
      <c r="B14" s="15" t="inlineStr"/>
      <c r="C14" s="16" t="inlineStr"/>
      <c r="D14" s="16" t="inlineStr"/>
      <c r="E14" s="16" t="inlineStr"/>
      <c r="F14" s="17">
        <f>IF(E14=0,"",IFERROR(D14/E14,""))</f>
        <v/>
      </c>
    </row>
    <row r="15" ht="20" customHeight="1">
      <c r="A15" s="5" t="inlineStr"/>
      <c r="B15" s="15" t="inlineStr"/>
      <c r="C15" s="16" t="inlineStr"/>
      <c r="D15" s="16" t="inlineStr"/>
      <c r="E15" s="16" t="inlineStr"/>
      <c r="F15" s="18">
        <f>IF(E15=0,"",IFERROR(D15/E15,""))</f>
        <v/>
      </c>
    </row>
    <row r="16" ht="20" customHeight="1">
      <c r="A16" s="5" t="inlineStr"/>
      <c r="B16" s="15" t="inlineStr"/>
      <c r="C16" s="16" t="inlineStr"/>
      <c r="D16" s="16" t="inlineStr"/>
      <c r="E16" s="16" t="inlineStr"/>
      <c r="F16" s="17">
        <f>IF(E16=0,"",IFERROR(D16/E16,""))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PETUNJUK PENGGUNAAN — ERACAM Template Spanduk Fasad</t>
        </is>
      </c>
    </row>
    <row r="2" ht="22" customHeight="1">
      <c r="A2" s="19" t="inlineStr">
        <is>
          <t>Sheet</t>
        </is>
      </c>
      <c r="B2" s="19" t="inlineStr">
        <is>
          <t>Kegunaan</t>
        </is>
      </c>
      <c r="C2" s="19" t="inlineStr">
        <is>
          <t>Input Wajib</t>
        </is>
      </c>
    </row>
    <row r="3" ht="22" customHeight="1">
      <c r="A3" s="11" t="inlineStr">
        <is>
          <t>REKAP</t>
        </is>
      </c>
      <c r="B3" s="11" t="inlineStr">
        <is>
          <t>Walk-In, Sales, ROI per outlet</t>
        </is>
      </c>
      <c r="C3" s="11" t="inlineStr">
        <is>
          <t>Outlet, Kota, Biaya Media, Avg WIC &amp; Sales</t>
        </is>
      </c>
    </row>
    <row r="4" ht="22" customHeight="1">
      <c r="A4" s="4" t="inlineStr">
        <is>
          <t>Wic</t>
        </is>
      </c>
      <c r="B4" s="4" t="inlineStr">
        <is>
          <t>Transaksi &amp; WIC per outlet</t>
        </is>
      </c>
      <c r="C4" s="4" t="inlineStr">
        <is>
          <t>Outlet, Transaksi &amp; WIC Before/During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2026-05-05T14:42:19Z</dcterms:created>
  <dcterms:modified xsi:type="dcterms:W3CDTF">2026-05-05T14:42:19Z</dcterms:modified>
</cp:coreProperties>
</file>